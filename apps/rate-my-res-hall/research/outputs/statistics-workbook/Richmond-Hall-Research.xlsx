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2b7a39459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s" sheetId="1" r:id="R72d886a4aaa14142"/>
    <x:sheet xmlns:r="http://schemas.openxmlformats.org/officeDocument/2006/relationships" name="Source Data" sheetId="2" r:id="Radfdcb4cebef42ed"/>
    <x:sheet xmlns:r="http://schemas.openxmlformats.org/officeDocument/2006/relationships" name="Stories" sheetId="3" r:id="Re2e598c899bd48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m d, yyyy"/>
    <x:numFmt numFmtId="201" formatCode="#,##0"/>
    <x:numFmt numFmtId="202" formatCode="0.0%"/>
    <x:numFmt numFmtId="203" formatCode="mm/dd/yy"/>
    <x:numFmt numFmtId="204" formatCode="0"/>
  </x:numFmts>
  <x:fonts count="7">
    <x:font>
      <x:sz val="11"/>
      <x:name val="Carlito"/>
    </x:font>
    <x:font>
      <x:sz val="11"/>
      <x:color rgb="FF18243B"/>
      <x:name val="Arial"/>
    </x:font>
    <x:font>
      <x:b/>
      <x:sz val="17"/>
      <x:color rgb="FF294987"/>
      <x:name val="Arial"/>
    </x:font>
    <x:font>
      <x:b/>
      <x:sz val="11"/>
      <x:color rgb="FFFFFFFF"/>
      <x:name val="Arial"/>
    </x:font>
    <x:font>
      <x:b/>
      <x:sz val="11"/>
      <x:color rgb="FF18243B"/>
      <x:name val="Arial"/>
    </x:font>
    <x:font>
      <x:b/>
      <x:sz val="11"/>
      <x:color rgb="FF990000"/>
      <x:name val="Arial"/>
    </x:font>
    <x:font>
      <x:b/>
      <x:sz val="11"/>
      <x:color rgb="FF29498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EF2F8"/>
      </x:patternFill>
    </x:fill>
    <x:fill>
      <x:patternFill patternType="solid">
        <x:fgColor rgb="FF29498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0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3f1bbfc65c49e7" /><Relationship Type="http://schemas.openxmlformats.org/officeDocument/2006/relationships/theme" Target="/xl/theme/theme1.xml" Id="R9d977645b87845eb" /><Relationship Type="http://schemas.openxmlformats.org/officeDocument/2006/relationships/sharedStrings" Target="/xl/sharedStrings.xml" Id="R1cc283946f054fb4" /><Relationship Type="http://schemas.openxmlformats.org/officeDocument/2006/relationships/worksheet" Target="/xl/worksheets/sheet1.xml" Id="R72d886a4aaa14142" /><Relationship Type="http://schemas.openxmlformats.org/officeDocument/2006/relationships/worksheet" Target="/xl/worksheets/sheet2.xml" Id="Radfdcb4cebef42ed" /><Relationship Type="http://schemas.openxmlformats.org/officeDocument/2006/relationships/worksheet" Target="/xl/worksheets/sheet3.xml" Id="Re2e598c899bd48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94987"/>
  </x:sheetPr>
  <x:sheetViews>
    <x:sheetView showGridLines="0" workbookViewId="0"/>
  </x:sheetViews>
  <x:sheetFormatPr defaultRowHeight="15"/>
  <x:cols>
    <x:col min="1" max="1" width="40" hidden="0" customWidth="1"/>
    <x:col min="2" max="2" width="2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Richmond halls, by the numbers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2" t="str">
        <x:v>Published capacities. Apartment communities are compared separately from individual halls.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2" t="str">
        <x:v>Research date</x:v>
      </x:c>
      <x:c r="B4" s="4" t="d">
        <x:v>2026-10-20T12:00:00.000Z</x:v>
      </x:c>
      <x:c r="C4" s="2"/>
      <x:c r="D4" s="2" t="str">
        <x:v>Reference year</x:v>
      </x:c>
      <x:c r="E4" s="2" t="n">
        <x:v>2026</x:v>
      </x:c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5" customHeight="1">
      <x:c r="A6" s="14" t="str">
        <x:v>Groups with published capacity</x:v>
      </x:c>
      <x:c r="B6" s="15" t="n">
        <x:f>COUNT('Source Data'!D6:D24)</x:f>
        <x:v>17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4" t="str">
        <x:v>Known capacity subtotal</x:v>
      </x:c>
      <x:c r="B7" s="16" t="n">
        <x:f>SUM('Source Data'!D6:D24)</x:f>
        <x:v>2719</x:v>
      </x:c>
      <x:c r="C7" s="2"/>
      <x:c r="D7" s="2" t="str">
        <x:v>Subtotal covers published figures only; it is not total campus capacity.</x:v>
      </x:c>
      <x:c r="E7" s="2"/>
      <x:c r="F7" s="2"/>
      <x:c r="G7" s="2"/>
      <x:c r="H7" s="2"/>
      <x:c r="I7" s="2"/>
      <x:c r="J7" s="2"/>
      <x:c r="K7" s="2"/>
      <x:c r="L7" s="2"/>
      <x:c r="M7" s="2"/>
    </x:row>
    <x:row r="8" ht="25" customHeight="1">
      <x:c r="A8" s="14" t="str">
        <x:v>Groups without a published capacity</x:v>
      </x:c>
      <x:c r="B8" s="15" t="n">
        <x:f>COUNTA('Source Data'!A6:A24)-B6</x:f>
        <x:v>2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40" customHeight="1">
      <x:c r="A10" s="9" t="str">
        <x:v>Residence</x:v>
      </x:c>
      <x:c r="B10" s="9" t="str">
        <x:v>Comparison group</x:v>
      </x:c>
      <x:c r="C10" s="9" t="str">
        <x:v>Capacity</x:v>
      </x:c>
      <x:c r="D10" s="9" t="str">
        <x:v>Rank in group</x:v>
      </x:c>
      <x:c r="E10" s="9" t="str">
        <x:v>Historical year</x:v>
      </x:c>
      <x:c r="F10" s="9" t="str">
        <x:v>Years since year</x:v>
      </x:c>
      <x:c r="G10" s="9" t="str">
        <x:v>Capacity share of group</x:v>
      </x:c>
      <x:c r="H10" s="2"/>
      <x:c r="I10" s="2"/>
      <x:c r="J10" s="2"/>
      <x:c r="K10" s="2"/>
      <x:c r="L10" s="2"/>
      <x:c r="M10" s="2"/>
    </x:row>
    <x:row r="11" ht="25" customHeight="1">
      <x:c r="A11" s="5" t="str">
        <x:f>'Source Data'!B6</x:f>
        <x:v>Atlantic House</x:v>
      </x:c>
      <x:c r="B11" s="5" t="str">
        <x:f>'Source Data'!C6</x:f>
        <x:v>Individual hall</x:v>
      </x:c>
      <x:c r="C11" s="10" t="n">
        <x:f>IF('Source Data'!D6="","",'Source Data'!D6)</x:f>
        <x:v>12</x:v>
      </x:c>
      <x:c r="D11" s="10" t="n">
        <x:f>IF(C11="","",COUNTIFS($B$11:$B$29,B11,$C$11:$C$29,"&gt;"&amp;C11)+1)</x:f>
        <x:v>15</x:v>
      </x:c>
      <x:c r="E11" s="19" t="n">
        <x:f>IF('Source Data'!E6="","",'Source Data'!E6)</x:f>
        <x:v>1930</x:v>
      </x:c>
      <x:c r="F11" s="10" t="n">
        <x:f>IF(E11="","",$E$4-E11)</x:f>
        <x:v>96</x:v>
      </x:c>
      <x:c r="G11" s="12" t="n">
        <x:f>IF(C11="","",C11/SUMIFS($C$11:$C$29,$B$11:$B$29,B11))</x:f>
        <x:v>0.005825242718446602</x:v>
      </x:c>
      <x:c r="H11" s="2"/>
      <x:c r="I11" s="2"/>
      <x:c r="J11" s="2"/>
      <x:c r="K11" s="2"/>
      <x:c r="L11" s="2"/>
      <x:c r="M11" s="2"/>
    </x:row>
    <x:row r="12" ht="25" customHeight="1">
      <x:c r="A12" s="2" t="str">
        <x:f>'Source Data'!B7</x:f>
        <x:v>Dennis Hall</x:v>
      </x:c>
      <x:c r="B12" s="2" t="str">
        <x:f>'Source Data'!C7</x:f>
        <x:v>Individual hall</x:v>
      </x:c>
      <x:c r="C12" s="11" t="n">
        <x:f>IF('Source Data'!D7="","",'Source Data'!D7)</x:f>
        <x:v>98</x:v>
      </x:c>
      <x:c r="D12" s="11" t="n">
        <x:f>IF(C12="","",COUNTIFS($B$11:$B$29,B12,$C$11:$C$29,"&gt;"&amp;C12)+1)</x:f>
        <x:v>9</x:v>
      </x:c>
      <x:c r="E12" s="20" t="n">
        <x:f>IF('Source Data'!E7="","",'Source Data'!E7)</x:f>
        <x:v>1964</x:v>
      </x:c>
      <x:c r="F12" s="11" t="n">
        <x:f>IF(E12="","",$E$4-E12)</x:f>
        <x:v>62</x:v>
      </x:c>
      <x:c r="G12" s="13" t="n">
        <x:f>IF(C12="","",C12/SUMIFS($C$11:$C$29,$B$11:$B$29,B12))</x:f>
        <x:v>0.04757281553398058</x:v>
      </x:c>
      <x:c r="H12" s="2"/>
      <x:c r="I12" s="2"/>
      <x:c r="J12" s="2"/>
      <x:c r="K12" s="2"/>
      <x:c r="L12" s="2"/>
      <x:c r="M12" s="2"/>
    </x:row>
    <x:row r="13" ht="25" customHeight="1">
      <x:c r="A13" s="5" t="str">
        <x:f>'Source Data'!B8</x:f>
        <x:v>Gateway Village Apartments</x:v>
      </x:c>
      <x:c r="B13" s="5" t="str">
        <x:f>'Source Data'!C8</x:f>
        <x:v>Apartment community</x:v>
      </x:c>
      <x:c r="C13" s="10" t="n">
        <x:f>IF('Source Data'!D8="","",'Source Data'!D8)</x:f>
        <x:v>176</x:v>
      </x:c>
      <x:c r="D13" s="10" t="n">
        <x:f>IF(C13="","",COUNTIFS($B$11:$B$29,B13,$C$11:$C$29,"&gt;"&amp;C13)+1)</x:f>
        <x:v>2</x:v>
      </x:c>
      <x:c r="E13" s="19" t="n">
        <x:f>IF('Source Data'!E8="","",'Source Data'!E8)</x:f>
        <x:v>2014</x:v>
      </x:c>
      <x:c r="F13" s="10" t="n">
        <x:f>IF(E13="","",$E$4-E13)</x:f>
        <x:v>12</x:v>
      </x:c>
      <x:c r="G13" s="12" t="n">
        <x:f>IF(C13="","",C13/SUMIFS($C$11:$C$29,$B$11:$B$29,B13))</x:f>
        <x:v>0.26707132018209406</x:v>
      </x:c>
      <x:c r="H13" s="2"/>
      <x:c r="I13" s="2"/>
      <x:c r="J13" s="2"/>
      <x:c r="K13" s="2"/>
      <x:c r="L13" s="2"/>
      <x:c r="M13" s="2"/>
    </x:row>
    <x:row r="14" ht="25" customHeight="1">
      <x:c r="A14" s="2" t="str">
        <x:f>'Source Data'!B9</x:f>
        <x:v>Gray Court</x:v>
      </x:c>
      <x:c r="B14" s="2" t="str">
        <x:f>'Source Data'!C9</x:f>
        <x:v>Individual hall</x:v>
      </x:c>
      <x:c r="C14" s="11" t="n">
        <x:f>IF('Source Data'!D9="","",'Source Data'!D9)</x:f>
        <x:v>292</x:v>
      </x:c>
      <x:c r="D14" s="11" t="n">
        <x:f>IF(C14="","",COUNTIFS($B$11:$B$29,B14,$C$11:$C$29,"&gt;"&amp;C14)+1)</x:f>
        <x:v>1</x:v>
      </x:c>
      <x:c r="E14" s="20" t="n">
        <x:f>IF('Source Data'!E9="","",'Source Data'!E9)</x:f>
        <x:v>1974</x:v>
      </x:c>
      <x:c r="F14" s="11" t="n">
        <x:f>IF(E14="","",$E$4-E14)</x:f>
        <x:v>52</x:v>
      </x:c>
      <x:c r="G14" s="13" t="n">
        <x:f>IF(C14="","",C14/SUMIFS($C$11:$C$29,$B$11:$B$29,B14))</x:f>
        <x:v>0.141747572815534</x:v>
      </x:c>
      <x:c r="H14" s="2"/>
      <x:c r="I14" s="2"/>
      <x:c r="J14" s="2"/>
      <x:c r="K14" s="2"/>
      <x:c r="L14" s="2"/>
      <x:c r="M14" s="2"/>
    </x:row>
    <x:row r="15" ht="25" customHeight="1">
      <x:c r="A15" s="5" t="str">
        <x:f>'Source Data'!B10</x:f>
        <x:v>Keller Hall</x:v>
      </x:c>
      <x:c r="B15" s="5" t="str">
        <x:f>'Source Data'!C10</x:f>
        <x:v>Individual hall</x:v>
      </x:c>
      <x:c r="C15" s="10" t="n">
        <x:f>IF('Source Data'!D10="","",'Source Data'!D10)</x:f>
        <x:v>38</x:v>
      </x:c>
      <x:c r="D15" s="10" t="n">
        <x:f>IF(C15="","",COUNTIFS($B$11:$B$29,B15,$C$11:$C$29,"&gt;"&amp;C15)+1)</x:f>
        <x:v>13</x:v>
      </x:c>
      <x:c r="E15" s="19" t="n">
        <x:f>IF('Source Data'!E10="","",'Source Data'!E10)</x:f>
        <x:v>1937</x:v>
      </x:c>
      <x:c r="F15" s="10" t="n">
        <x:f>IF(E15="","",$E$4-E15)</x:f>
        <x:v>89</x:v>
      </x:c>
      <x:c r="G15" s="12" t="n">
        <x:f>IF(C15="","",C15/SUMIFS($C$11:$C$29,$B$11:$B$29,B15))</x:f>
        <x:v>0.018446601941747572</x:v>
      </x:c>
      <x:c r="H15" s="2"/>
      <x:c r="I15" s="2"/>
      <x:c r="J15" s="2"/>
      <x:c r="K15" s="2"/>
      <x:c r="L15" s="2"/>
      <x:c r="M15" s="2"/>
    </x:row>
    <x:row r="16" ht="25" customHeight="1">
      <x:c r="A16" s="2" t="str">
        <x:f>'Source Data'!B11</x:f>
        <x:v>Lakeview Hall</x:v>
      </x:c>
      <x:c r="B16" s="2" t="str">
        <x:f>'Source Data'!C11</x:f>
        <x:v>Individual hall</x:v>
      </x:c>
      <x:c r="C16" s="11" t="n">
        <x:f>IF('Source Data'!D11="","",'Source Data'!D11)</x:f>
        <x:v>141</x:v>
      </x:c>
      <x:c r="D16" s="11" t="n">
        <x:f>IF(C16="","",COUNTIFS($B$11:$B$29,B16,$C$11:$C$29,"&gt;"&amp;C16)+1)</x:f>
        <x:v>8</x:v>
      </x:c>
      <x:c r="E16" s="20" t="n">
        <x:f>IF('Source Data'!E11="","",'Source Data'!E11)</x:f>
        <x:v>2007</x:v>
      </x:c>
      <x:c r="F16" s="11" t="n">
        <x:f>IF(E16="","",$E$4-E16)</x:f>
        <x:v>19</x:v>
      </x:c>
      <x:c r="G16" s="13" t="n">
        <x:f>IF(C16="","",C16/SUMIFS($C$11:$C$29,$B$11:$B$29,B16))</x:f>
        <x:v>0.06844660194174758</x:v>
      </x:c>
      <x:c r="H16" s="2"/>
      <x:c r="I16" s="2"/>
      <x:c r="J16" s="2"/>
      <x:c r="K16" s="2"/>
      <x:c r="L16" s="2"/>
      <x:c r="M16" s="2"/>
    </x:row>
    <x:row r="17" ht="25" customHeight="1">
      <x:c r="A17" s="5" t="str">
        <x:f>'Source Data'!B12</x:f>
        <x:v>Lora Robins Court</x:v>
      </x:c>
      <x:c r="B17" s="5" t="str">
        <x:f>'Source Data'!C12</x:f>
        <x:v>Individual hall</x:v>
      </x:c>
      <x:c r="C17" s="10" t="n">
        <x:f>IF('Source Data'!D12="","",'Source Data'!D12)</x:f>
        <x:v>282</x:v>
      </x:c>
      <x:c r="D17" s="10" t="n">
        <x:f>IF(C17="","",COUNTIFS($B$11:$B$29,B17,$C$11:$C$29,"&gt;"&amp;C17)+1)</x:f>
        <x:v>2</x:v>
      </x:c>
      <x:c r="E17" s="19" t="n">
        <x:f>IF('Source Data'!E12="","",'Source Data'!E12)</x:f>
        <x:v>1979</x:v>
      </x:c>
      <x:c r="F17" s="10" t="n">
        <x:f>IF(E17="","",$E$4-E17)</x:f>
        <x:v>47</x:v>
      </x:c>
      <x:c r="G17" s="12" t="n">
        <x:f>IF(C17="","",C17/SUMIFS($C$11:$C$29,$B$11:$B$29,B17))</x:f>
        <x:v>0.13689320388349516</x:v>
      </x:c>
      <x:c r="H17" s="2"/>
      <x:c r="I17" s="2"/>
      <x:c r="J17" s="2"/>
      <x:c r="K17" s="2"/>
      <x:c r="L17" s="2"/>
      <x:c r="M17" s="2"/>
    </x:row>
    <x:row r="18" ht="25" customHeight="1">
      <x:c r="A18" s="2" t="str">
        <x:f>'Source Data'!B13</x:f>
        <x:v>Marsh Hall</x:v>
      </x:c>
      <x:c r="B18" s="2" t="str">
        <x:f>'Source Data'!C13</x:f>
        <x:v>Individual hall</x:v>
      </x:c>
      <x:c r="C18" s="11" t="n">
        <x:f>IF('Source Data'!D13="","",'Source Data'!D13)</x:f>
        <x:v>229</x:v>
      </x:c>
      <x:c r="D18" s="11" t="n">
        <x:f>IF(C18="","",COUNTIFS($B$11:$B$29,B18,$C$11:$C$29,"&gt;"&amp;C18)+1)</x:f>
        <x:v>3</x:v>
      </x:c>
      <x:c r="E18" s="20" t="n">
        <x:f>IF('Source Data'!E13="","",'Source Data'!E13)</x:f>
        <x:v>1973</x:v>
      </x:c>
      <x:c r="F18" s="11" t="n">
        <x:f>IF(E18="","",$E$4-E18)</x:f>
        <x:v>53</x:v>
      </x:c>
      <x:c r="G18" s="13" t="n">
        <x:f>IF(C18="","",C18/SUMIFS($C$11:$C$29,$B$11:$B$29,B18))</x:f>
        <x:v>0.11116504854368932</x:v>
      </x:c>
      <x:c r="H18" s="2"/>
      <x:c r="I18" s="2"/>
      <x:c r="J18" s="2"/>
      <x:c r="K18" s="2"/>
      <x:c r="L18" s="2"/>
      <x:c r="M18" s="2"/>
    </x:row>
    <x:row r="19" ht="25" customHeight="1">
      <x:c r="A19" s="5" t="str">
        <x:f>'Source Data'!B14</x:f>
        <x:v>Moore Hall</x:v>
      </x:c>
      <x:c r="B19" s="5" t="str">
        <x:f>'Source Data'!C14</x:f>
        <x:v>Individual hall</x:v>
      </x:c>
      <x:c r="C19" s="10" t="n">
        <x:f>IF('Source Data'!D14="","",'Source Data'!D14)</x:f>
        <x:v>156</x:v>
      </x:c>
      <x:c r="D19" s="10" t="n">
        <x:f>IF(C19="","",COUNTIFS($B$11:$B$29,B19,$C$11:$C$29,"&gt;"&amp;C19)+1)</x:f>
        <x:v>7</x:v>
      </x:c>
      <x:c r="E19" s="19" t="n">
        <x:f>IF('Source Data'!E14="","",'Source Data'!E14)</x:f>
        <x:v>1969</x:v>
      </x:c>
      <x:c r="F19" s="10" t="n">
        <x:f>IF(E19="","",$E$4-E19)</x:f>
        <x:v>57</x:v>
      </x:c>
      <x:c r="G19" s="12" t="n">
        <x:f>IF(C19="","",C19/SUMIFS($C$11:$C$29,$B$11:$B$29,B19))</x:f>
        <x:v>0.07572815533980583</x:v>
      </x:c>
      <x:c r="H19" s="2"/>
      <x:c r="I19" s="2"/>
      <x:c r="J19" s="2"/>
      <x:c r="K19" s="2"/>
      <x:c r="L19" s="2"/>
      <x:c r="M19" s="2"/>
    </x:row>
    <x:row r="20" ht="25" customHeight="1">
      <x:c r="A20" s="2" t="str">
        <x:f>'Source Data'!B15</x:f>
        <x:v>North Court</x:v>
      </x:c>
      <x:c r="B20" s="2" t="str">
        <x:f>'Source Data'!C15</x:f>
        <x:v>Individual hall</x:v>
      </x:c>
      <x:c r="C20" s="11" t="n">
        <x:f>IF('Source Data'!D15="","",'Source Data'!D15)</x:f>
        <x:v>221</x:v>
      </x:c>
      <x:c r="D20" s="11" t="n">
        <x:f>IF(C20="","",COUNTIFS($B$11:$B$29,B20,$C$11:$C$29,"&gt;"&amp;C20)+1)</x:f>
        <x:v>4</x:v>
      </x:c>
      <x:c r="E20" s="20" t="n">
        <x:f>IF('Source Data'!E15="","",'Source Data'!E15)</x:f>
        <x:v>1914</x:v>
      </x:c>
      <x:c r="F20" s="11" t="n">
        <x:f>IF(E20="","",$E$4-E20)</x:f>
        <x:v>112</x:v>
      </x:c>
      <x:c r="G20" s="13" t="n">
        <x:f>IF(C20="","",C20/SUMIFS($C$11:$C$29,$B$11:$B$29,B20))</x:f>
        <x:v>0.10728155339805825</x:v>
      </x:c>
      <x:c r="H20" s="2"/>
      <x:c r="I20" s="2"/>
      <x:c r="J20" s="2"/>
      <x:c r="K20" s="2"/>
      <x:c r="L20" s="2"/>
      <x:c r="M20" s="2"/>
    </x:row>
    <x:row r="21" ht="25" customHeight="1">
      <x:c r="A21" s="5" t="str">
        <x:f>'Source Data'!B16</x:f>
        <x:v>Pacific House</x:v>
      </x:c>
      <x:c r="B21" s="5" t="str">
        <x:f>'Source Data'!C16</x:f>
        <x:v>Individual hall</x:v>
      </x:c>
      <x:c r="C21" s="10" t="n">
        <x:f>IF('Source Data'!D16="","",'Source Data'!D16)</x:f>
        <x:v>17</x:v>
      </x:c>
      <x:c r="D21" s="10" t="n">
        <x:f>IF(C21="","",COUNTIFS($B$11:$B$29,B21,$C$11:$C$29,"&gt;"&amp;C21)+1)</x:f>
        <x:v>14</x:v>
      </x:c>
      <x:c r="E21" s="19" t="n">
        <x:f>IF('Source Data'!E16="","",'Source Data'!E16)</x:f>
        <x:v>1928</x:v>
      </x:c>
      <x:c r="F21" s="10" t="n">
        <x:f>IF(E21="","",$E$4-E21)</x:f>
        <x:v>98</x:v>
      </x:c>
      <x:c r="G21" s="12" t="n">
        <x:f>IF(C21="","",C21/SUMIFS($C$11:$C$29,$B$11:$B$29,B21))</x:f>
        <x:v>0.00825242718446602</x:v>
      </x:c>
      <x:c r="H21" s="2"/>
      <x:c r="I21" s="2"/>
      <x:c r="J21" s="2"/>
      <x:c r="K21" s="2"/>
      <x:c r="L21" s="2"/>
      <x:c r="M21" s="2"/>
    </x:row>
    <x:row r="22" ht="25" customHeight="1">
      <x:c r="A22" s="2" t="str">
        <x:f>'Source Data'!B17</x:f>
        <x:v>Residence Hall No. 1</x:v>
      </x:c>
      <x:c r="B22" s="2" t="str">
        <x:f>'Source Data'!C17</x:f>
        <x:v>Individual hall</x:v>
      </x:c>
      <x:c r="C22" s="11" t="n">
        <x:f>IF('Source Data'!D17="","",'Source Data'!D17)</x:f>
        <x:v>83</x:v>
      </x:c>
      <x:c r="D22" s="11" t="n">
        <x:f>IF(C22="","",COUNTIFS($B$11:$B$29,B22,$C$11:$C$29,"&gt;"&amp;C22)+1)</x:f>
        <x:v>12</x:v>
      </x:c>
      <x:c r="E22" s="20" t="n">
        <x:f>IF('Source Data'!E17="","",'Source Data'!E17)</x:f>
        <x:v>1913</x:v>
      </x:c>
      <x:c r="F22" s="11" t="n">
        <x:f>IF(E22="","",$E$4-E22)</x:f>
        <x:v>113</x:v>
      </x:c>
      <x:c r="G22" s="13" t="n">
        <x:f>IF(C22="","",C22/SUMIFS($C$11:$C$29,$B$11:$B$29,B22))</x:f>
        <x:v>0.04029126213592233</x:v>
      </x:c>
      <x:c r="H22" s="2"/>
      <x:c r="I22" s="2"/>
      <x:c r="J22" s="2"/>
      <x:c r="K22" s="2"/>
      <x:c r="L22" s="2"/>
      <x:c r="M22" s="2"/>
    </x:row>
    <x:row r="23" ht="25" customHeight="1">
      <x:c r="A23" s="5" t="str">
        <x:f>'Source Data'!B18</x:f>
        <x:v>Residence Hall No. 2</x:v>
      </x:c>
      <x:c r="B23" s="5" t="str">
        <x:f>'Source Data'!C18</x:f>
        <x:v>Individual hall</x:v>
      </x:c>
      <x:c r="C23" s="10" t="n">
        <x:f>IF('Source Data'!D18="","",'Source Data'!D18)</x:f>
        <x:v>86</x:v>
      </x:c>
      <x:c r="D23" s="10" t="n">
        <x:f>IF(C23="","",COUNTIFS($B$11:$B$29,B23,$C$11:$C$29,"&gt;"&amp;C23)+1)</x:f>
        <x:v>10</x:v>
      </x:c>
      <x:c r="E23" s="19" t="n">
        <x:f>IF('Source Data'!E18="","",'Source Data'!E18)</x:f>
        <x:v>1913</x:v>
      </x:c>
      <x:c r="F23" s="10" t="n">
        <x:f>IF(E23="","",$E$4-E23)</x:f>
        <x:v>113</x:v>
      </x:c>
      <x:c r="G23" s="12" t="n">
        <x:f>IF(C23="","",C23/SUMIFS($C$11:$C$29,$B$11:$B$29,B23))</x:f>
        <x:v>0.04174757281553398</x:v>
      </x:c>
      <x:c r="H23" s="2"/>
      <x:c r="I23" s="2"/>
      <x:c r="J23" s="2"/>
      <x:c r="K23" s="2"/>
      <x:c r="L23" s="2"/>
      <x:c r="M23" s="2"/>
    </x:row>
    <x:row r="24" ht="25" customHeight="1">
      <x:c r="A24" s="2" t="str">
        <x:f>'Source Data'!B19</x:f>
        <x:v>Residence Hall No. 3</x:v>
      </x:c>
      <x:c r="B24" s="2" t="str">
        <x:f>'Source Data'!C19</x:f>
        <x:v>Individual hall</x:v>
      </x:c>
      <x:c r="C24" s="11" t="n">
        <x:f>IF('Source Data'!D19="","",'Source Data'!D19)</x:f>
        <x:v>86</x:v>
      </x:c>
      <x:c r="D24" s="11" t="n">
        <x:f>IF(C24="","",COUNTIFS($B$11:$B$29,B24,$C$11:$C$29,"&gt;"&amp;C24)+1)</x:f>
        <x:v>10</x:v>
      </x:c>
      <x:c r="E24" s="20" t="n">
        <x:f>IF('Source Data'!E19="","",'Source Data'!E19)</x:f>
        <x:v>1965</x:v>
      </x:c>
      <x:c r="F24" s="11" t="n">
        <x:f>IF(E24="","",$E$4-E24)</x:f>
        <x:v>61</x:v>
      </x:c>
      <x:c r="G24" s="13" t="n">
        <x:f>IF(C24="","",C24/SUMIFS($C$11:$C$29,$B$11:$B$29,B24))</x:f>
        <x:v>0.04174757281553398</x:v>
      </x:c>
      <x:c r="H24" s="2"/>
      <x:c r="I24" s="2"/>
      <x:c r="J24" s="2"/>
      <x:c r="K24" s="2"/>
      <x:c r="L24" s="2"/>
      <x:c r="M24" s="2"/>
    </x:row>
    <x:row r="25" ht="25" customHeight="1">
      <x:c r="A25" s="5" t="str">
        <x:f>'Source Data'!B20</x:f>
        <x:v>Robins Hall</x:v>
      </x:c>
      <x:c r="B25" s="5" t="str">
        <x:f>'Source Data'!C20</x:f>
        <x:v>Individual hall</x:v>
      </x:c>
      <x:c r="C25" s="10" t="str">
        <x:f>IF('Source Data'!D20="","",'Source Data'!D20)</x:f>
      </x:c>
      <x:c r="D25" s="10" t="str">
        <x:f>IF(C25="","",COUNTIFS($B$11:$B$29,B25,$C$11:$C$29,"&gt;"&amp;C25)+1)</x:f>
      </x:c>
      <x:c r="E25" s="19" t="n">
        <x:f>IF('Source Data'!E20="","",'Source Data'!E20)</x:f>
        <x:v>1959</x:v>
      </x:c>
      <x:c r="F25" s="10" t="n">
        <x:f>IF(E25="","",$E$4-E25)</x:f>
        <x:v>67</x:v>
      </x:c>
      <x:c r="G25" s="12" t="str">
        <x:f>IF(C25="","",C25/SUMIFS($C$11:$C$29,$B$11:$B$29,B25))</x:f>
      </x:c>
      <x:c r="H25" s="2"/>
      <x:c r="I25" s="2"/>
      <x:c r="J25" s="2"/>
      <x:c r="K25" s="2"/>
      <x:c r="L25" s="2"/>
      <x:c r="M25" s="2"/>
    </x:row>
    <x:row r="26" ht="25" customHeight="1">
      <x:c r="A26" s="2" t="str">
        <x:f>'Source Data'!B21</x:f>
        <x:v>South Court</x:v>
      </x:c>
      <x:c r="B26" s="2" t="str">
        <x:f>'Source Data'!C21</x:f>
        <x:v>Individual hall</x:v>
      </x:c>
      <x:c r="C26" s="11" t="n">
        <x:f>IF('Source Data'!D21="","",'Source Data'!D21)</x:f>
        <x:v>162</x:v>
      </x:c>
      <x:c r="D26" s="11" t="n">
        <x:f>IF(C26="","",COUNTIFS($B$11:$B$29,B26,$C$11:$C$29,"&gt;"&amp;C26)+1)</x:f>
        <x:v>5</x:v>
      </x:c>
      <x:c r="E26" s="20" t="n">
        <x:f>IF('Source Data'!E21="","",'Source Data'!E21)</x:f>
        <x:v>1948</x:v>
      </x:c>
      <x:c r="F26" s="11" t="n">
        <x:f>IF(E26="","",$E$4-E26)</x:f>
        <x:v>78</x:v>
      </x:c>
      <x:c r="G26" s="13" t="n">
        <x:f>IF(C26="","",C26/SUMIFS($C$11:$C$29,$B$11:$B$29,B26))</x:f>
        <x:v>0.07864077669902912</x:v>
      </x:c>
      <x:c r="H26" s="2"/>
      <x:c r="I26" s="2"/>
      <x:c r="J26" s="2"/>
      <x:c r="K26" s="2"/>
      <x:c r="L26" s="2"/>
      <x:c r="M26" s="2"/>
    </x:row>
    <x:row r="27" ht="25" customHeight="1">
      <x:c r="A27" s="5" t="str">
        <x:f>'Source Data'!B22</x:f>
        <x:v>University Forest Apartments</x:v>
      </x:c>
      <x:c r="B27" s="5" t="str">
        <x:f>'Source Data'!C22</x:f>
        <x:v>Apartment community</x:v>
      </x:c>
      <x:c r="C27" s="10" t="n">
        <x:f>IF('Source Data'!D22="","",'Source Data'!D22)</x:f>
        <x:v>483</x:v>
      </x:c>
      <x:c r="D27" s="10" t="n">
        <x:f>IF(C27="","",COUNTIFS($B$11:$B$29,B27,$C$11:$C$29,"&gt;"&amp;C27)+1)</x:f>
        <x:v>1</x:v>
      </x:c>
      <x:c r="E27" s="19" t="str">
        <x:f>IF('Source Data'!E22="","",'Source Data'!E22)</x:f>
      </x:c>
      <x:c r="F27" s="10" t="str">
        <x:f>IF(E27="","",$E$4-E27)</x:f>
      </x:c>
      <x:c r="G27" s="12" t="n">
        <x:f>IF(C27="","",C27/SUMIFS($C$11:$C$29,$B$11:$B$29,B27))</x:f>
        <x:v>0.7329286798179059</x:v>
      </x:c>
      <x:c r="H27" s="2"/>
      <x:c r="I27" s="2"/>
      <x:c r="J27" s="2"/>
      <x:c r="K27" s="2"/>
      <x:c r="L27" s="2"/>
      <x:c r="M27" s="2"/>
    </x:row>
    <x:row r="28" ht="25" customHeight="1">
      <x:c r="A28" s="2" t="str">
        <x:f>'Source Data'!B23</x:f>
        <x:v>Westhampton Hall</x:v>
      </x:c>
      <x:c r="B28" s="2" t="str">
        <x:f>'Source Data'!C23</x:f>
        <x:v>Individual hall</x:v>
      </x:c>
      <x:c r="C28" s="11" t="n">
        <x:f>IF('Source Data'!D23="","",'Source Data'!D23)</x:f>
        <x:v>157</x:v>
      </x:c>
      <x:c r="D28" s="11" t="n">
        <x:f>IF(C28="","",COUNTIFS($B$11:$B$29,B28,$C$11:$C$29,"&gt;"&amp;C28)+1)</x:f>
        <x:v>6</x:v>
      </x:c>
      <x:c r="E28" s="20" t="n">
        <x:f>IF('Source Data'!E23="","",'Source Data'!E23)</x:f>
        <x:v>2014</x:v>
      </x:c>
      <x:c r="F28" s="11" t="n">
        <x:f>IF(E28="","",$E$4-E28)</x:f>
        <x:v>12</x:v>
      </x:c>
      <x:c r="G28" s="13" t="n">
        <x:f>IF(C28="","",C28/SUMIFS($C$11:$C$29,$B$11:$B$29,B28))</x:f>
        <x:v>0.0762135922330097</x:v>
      </x:c>
      <x:c r="H28" s="2"/>
      <x:c r="I28" s="2"/>
      <x:c r="J28" s="2"/>
      <x:c r="K28" s="2"/>
      <x:c r="L28" s="2"/>
      <x:c r="M28" s="2"/>
    </x:row>
    <x:row r="29" ht="25" customHeight="1">
      <x:c r="A29" s="5" t="str">
        <x:f>'Source Data'!B24</x:f>
        <x:v>Wood Hall</x:v>
      </x:c>
      <x:c r="B29" s="5" t="str">
        <x:f>'Source Data'!C24</x:f>
        <x:v>Individual hall</x:v>
      </x:c>
      <x:c r="C29" s="10" t="str">
        <x:f>IF('Source Data'!D24="","",'Source Data'!D24)</x:f>
      </x:c>
      <x:c r="D29" s="10" t="str">
        <x:f>IF(C29="","",COUNTIFS($B$11:$B$29,B29,$C$11:$C$29,"&gt;"&amp;C29)+1)</x:f>
      </x:c>
      <x:c r="E29" s="19" t="n">
        <x:f>IF('Source Data'!E24="","",'Source Data'!E24)</x:f>
        <x:v>1956</x:v>
      </x:c>
      <x:c r="F29" s="10" t="n">
        <x:f>IF(E29="","",$E$4-E29)</x:f>
        <x:v>70</x:v>
      </x:c>
      <x:c r="G29" s="12" t="str">
        <x:f>IF(C29="","",C29/SUMIFS($C$11:$C$29,$B$11:$B$29,B29))</x:f>
      </x:c>
      <x:c r="H29" s="2"/>
      <x:c r="I29" s="2"/>
      <x:c r="J29" s="2"/>
      <x:c r="K29" s="2"/>
      <x:c r="L29" s="2"/>
      <x:c r="M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5" customHeight="1">
      <x:c r="A31" s="2" t="str">
        <x:v>Years since year uses a published construction, opening or dedication year, not an exact anniversary.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5" customHeight="1">
      <x:c r="A32" s="2" t="str">
        <x:v>Ranks and shares use known capacities within each comparison group. Ties share a rank.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ABAD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25" hidden="0" customWidth="1"/>
    <x:col min="4" max="4" width="16" hidden="0" customWidth="1"/>
    <x:col min="5" max="5" width="16" hidden="0" customWidth="1"/>
    <x:col min="6" max="6" width="52" hidden="0" customWidth="1"/>
    <x:col min="7" max="7" width="16" hidden="0" customWidth="1"/>
    <x:col min="8" max="8" width="70" hidden="0" customWidth="1"/>
    <x:col min="9" max="9" width="100" hidden="0" customWidth="1"/>
    <x:col min="10" max="10" width="3" hidden="0" customWidth="1"/>
    <x:col min="11" max="11" width="100" hidden="0" customWidth="1"/>
    <x:col min="12" max="12" width="100" hidden="0" customWidth="1"/>
    <x:col min="13" max="13" width="10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Residence research register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2" t="str">
        <x:v>Blank capacity means unavailable. Published capacity is not current occupancy or room availability.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0" customHeight="1">
      <x:c r="A5" s="9" t="str">
        <x:v>Place ID</x:v>
      </x:c>
      <x:c r="B5" s="9" t="str">
        <x:v>Residence</x:v>
      </x:c>
      <x:c r="C5" s="9" t="str">
        <x:v>Comparison group</x:v>
      </x:c>
      <x:c r="D5" s="9" t="str">
        <x:v>Capacity</x:v>
      </x:c>
      <x:c r="E5" s="9" t="str">
        <x:v>Built / opened</x:v>
      </x:c>
      <x:c r="F5" s="9" t="str">
        <x:v>Room types</x:v>
      </x:c>
      <x:c r="G5" s="9" t="str">
        <x:v>Verified date</x:v>
      </x:c>
      <x:c r="H5" s="9" t="str">
        <x:v>Verification</x:v>
      </x:c>
      <x:c r="I5" s="9" t="str">
        <x:v>Notes</x:v>
      </x:c>
      <x:c r="J5" s="2" t="str"/>
      <x:c r="K5" s="9" t="str">
        <x:v>Capacity source</x:v>
      </x:c>
      <x:c r="L5" s="9" t="str">
        <x:v>Year source</x:v>
      </x:c>
      <x:c r="M5" s="9" t="str">
        <x:v>Room-type source</x:v>
      </x:c>
    </x:row>
    <x:row r="6" ht="45" customHeight="1">
      <x:c r="A6" s="5" t="str">
        <x:v>572483</x:v>
      </x:c>
      <x:c r="B6" s="5" t="str">
        <x:v>Atlantic House</x:v>
      </x:c>
      <x:c r="C6" s="5" t="str">
        <x:v>Individual hall</x:v>
      </x:c>
      <x:c r="D6" s="10" t="n">
        <x:v>12</x:v>
      </x:c>
      <x:c r="E6" s="19" t="n">
        <x:v>1930</x:v>
      </x:c>
      <x:c r="F6" s="5" t="str">
        <x:v>Single</x:v>
      </x:c>
      <x:c r="G6" s="17" t="d">
        <x:v>2026-10-20T12:00:00.000Z</x:v>
      </x:c>
      <x:c r="H6" s="5" t="str">
        <x:v>Official current search index and saved university page</x:v>
      </x:c>
      <x:c r="I6" s="21" t="str"/>
      <x:c r="J6" s="2" t="str"/>
      <x:c r="K6" s="2" t="str">
        <x:v>https://residencelife.richmond.edu/housing/law-housing/atlantic-house.html</x:v>
      </x:c>
      <x:c r="L6" s="2" t="str">
        <x:v>https://residencelife.richmond.edu/housing/law-housing/atlantic-house.html</x:v>
      </x:c>
      <x:c r="M6" s="2" t="str">
        <x:v>https://residencelife.richmond.edu/housing/law-housing/atlantic-house.html</x:v>
      </x:c>
    </x:row>
    <x:row r="7" ht="45" customHeight="1">
      <x:c r="A7" s="2" t="str">
        <x:v>571561</x:v>
      </x:c>
      <x:c r="B7" s="2" t="str">
        <x:v>Dennis Hall</x:v>
      </x:c>
      <x:c r="C7" s="2" t="str">
        <x:v>Individual hall</x:v>
      </x:c>
      <x:c r="D7" s="11" t="n">
        <x:v>98</x:v>
      </x:c>
      <x:c r="E7" s="20" t="n">
        <x:v>1964</x:v>
      </x:c>
      <x:c r="F7" s="2" t="str">
        <x:v>Single, Double</x:v>
      </x:c>
      <x:c r="G7" s="18" t="d">
        <x:v>2026-10-20T12:00:00.000Z</x:v>
      </x:c>
      <x:c r="H7" s="2" t="str">
        <x:v>Official current search index and saved university page</x:v>
      </x:c>
      <x:c r="I7" s="22" t="str"/>
      <x:c r="J7" s="2" t="str"/>
      <x:c r="K7" s="2" t="str">
        <x:v>https://residencelife.richmond.edu/housing/first%20years/dennis.html</x:v>
      </x:c>
      <x:c r="L7" s="2" t="str">
        <x:v>https://residencelife.richmond.edu/housing/first%20years/dennis.html</x:v>
      </x:c>
      <x:c r="M7" s="2" t="str">
        <x:v>https://residencelife.richmond.edu/housing/first%20years/dennis.html</x:v>
      </x:c>
    </x:row>
    <x:row r="8" ht="45" customHeight="1">
      <x:c r="A8" s="5" t="str">
        <x:v>572073</x:v>
      </x:c>
      <x:c r="B8" s="5" t="str">
        <x:v>Gateway Village Apartments</x:v>
      </x:c>
      <x:c r="C8" s="5" t="str">
        <x:v>Apartment community</x:v>
      </x:c>
      <x:c r="D8" s="10" t="n">
        <x:v>176</x:v>
      </x:c>
      <x:c r="E8" s="19" t="n">
        <x:v>2014</x:v>
      </x:c>
      <x:c r="F8" s="5" t="str">
        <x:v>Four single bedrooms per apartment</x:v>
      </x:c>
      <x:c r="G8" s="17" t="d">
        <x:v>2026-10-20T12:00:00.000Z</x:v>
      </x:c>
      <x:c r="H8" s="5" t="str">
        <x:v>Official current search index and saved university page</x:v>
      </x:c>
      <x:c r="I8" s="21" t="str">
        <x:v>Capacity covers the apartment community, not one building or unit.</x:v>
      </x:c>
      <x:c r="J8" s="2" t="str"/>
      <x:c r="K8" s="2" t="str">
        <x:v>https://residencelife.richmond.edu/housing/upperclass/ufa-gateway.html</x:v>
      </x:c>
      <x:c r="L8" s="2" t="str">
        <x:v>https://residencelife.richmond.edu/housing/upperclass/ufa-gateway.html</x:v>
      </x:c>
      <x:c r="M8" s="2" t="str">
        <x:v>https://residencelife.richmond.edu/housing/upperclass/ufa-gateway.html</x:v>
      </x:c>
    </x:row>
    <x:row r="9" ht="45" customHeight="1">
      <x:c r="A9" s="2" t="str">
        <x:v>571565</x:v>
      </x:c>
      <x:c r="B9" s="2" t="str">
        <x:v>Gray Court</x:v>
      </x:c>
      <x:c r="C9" s="2" t="str">
        <x:v>Individual hall</x:v>
      </x:c>
      <x:c r="D9" s="11" t="n">
        <x:v>292</x:v>
      </x:c>
      <x:c r="E9" s="20" t="n">
        <x:v>1974</x:v>
      </x:c>
      <x:c r="F9" s="2" t="str">
        <x:v>Single, Double, Triple</x:v>
      </x:c>
      <x:c r="G9" s="18" t="d">
        <x:v>2026-10-20T12:00:00.000Z</x:v>
      </x:c>
      <x:c r="H9" s="2" t="str">
        <x:v>Official current search index and saved university page</x:v>
      </x:c>
      <x:c r="I9" s="22" t="str"/>
      <x:c r="J9" s="2" t="str"/>
      <x:c r="K9" s="2" t="str">
        <x:v>https://residencelife.richmond.edu/housing/upperclass/gray-court.html</x:v>
      </x:c>
      <x:c r="L9" s="2" t="str">
        <x:v>https://residencelife.richmond.edu/housing/upperclass/gray-court.html</x:v>
      </x:c>
      <x:c r="M9" s="2" t="str">
        <x:v>https://residencelife.richmond.edu/housing/upperclass/gray-court.html</x:v>
      </x:c>
    </x:row>
    <x:row r="10" ht="45" customHeight="1">
      <x:c r="A10" s="5" t="str">
        <x:v>571571</x:v>
      </x:c>
      <x:c r="B10" s="5" t="str">
        <x:v>Keller Hall</x:v>
      </x:c>
      <x:c r="C10" s="5" t="str">
        <x:v>Individual hall</x:v>
      </x:c>
      <x:c r="D10" s="10" t="n">
        <x:v>38</x:v>
      </x:c>
      <x:c r="E10" s="19" t="n">
        <x:v>1937</x:v>
      </x:c>
      <x:c r="F10" s="5" t="str">
        <x:v>Single, Double, Triple</x:v>
      </x:c>
      <x:c r="G10" s="17" t="d">
        <x:v>2026-10-20T12:00:00.000Z</x:v>
      </x:c>
      <x:c r="H10" s="5" t="str">
        <x:v>Official current search index and saved university page</x:v>
      </x:c>
      <x:c r="I10" s="21" t="str"/>
      <x:c r="J10" s="2" t="str"/>
      <x:c r="K10" s="2" t="str">
        <x:v>https://residencelife.richmond.edu/housing/upperclass/keller-hall.html</x:v>
      </x:c>
      <x:c r="L10" s="2" t="str">
        <x:v>https://residencelife.richmond.edu/housing/upperclass/keller-hall.html</x:v>
      </x:c>
      <x:c r="M10" s="2" t="str">
        <x:v>https://residencelife.richmond.edu/housing/upperclass/keller-hall.html</x:v>
      </x:c>
    </x:row>
    <x:row r="11" ht="45" customHeight="1">
      <x:c r="A11" s="2" t="str">
        <x:v>571573</x:v>
      </x:c>
      <x:c r="B11" s="2" t="str">
        <x:v>Lakeview Hall</x:v>
      </x:c>
      <x:c r="C11" s="2" t="str">
        <x:v>Individual hall</x:v>
      </x:c>
      <x:c r="D11" s="11" t="n">
        <x:v>141</x:v>
      </x:c>
      <x:c r="E11" s="20" t="n">
        <x:v>2007</x:v>
      </x:c>
      <x:c r="F11" s="2" t="str">
        <x:v>Single/double suite, Double/double suite</x:v>
      </x:c>
      <x:c r="G11" s="18" t="d">
        <x:v>2026-10-20T12:00:00.000Z</x:v>
      </x:c>
      <x:c r="H11" s="2" t="str">
        <x:v>Official current search index and saved university page</x:v>
      </x:c>
      <x:c r="I11" s="22" t="str"/>
      <x:c r="J11" s="2" t="str"/>
      <x:c r="K11" s="2" t="str">
        <x:v>https://residencelife.richmond.edu/housing/upperclass/lakeview-hall.html</x:v>
      </x:c>
      <x:c r="L11" s="2" t="str">
        <x:v>https://residencelife.richmond.edu/housing/upperclass/lakeview-hall.html</x:v>
      </x:c>
      <x:c r="M11" s="2" t="str">
        <x:v>https://residencelife.richmond.edu/housing/upperclass/lakeview-hall.html</x:v>
      </x:c>
    </x:row>
    <x:row r="12" ht="45" customHeight="1">
      <x:c r="A12" s="5" t="str">
        <x:v>571574</x:v>
      </x:c>
      <x:c r="B12" s="5" t="str">
        <x:v>Lora Robins Court</x:v>
      </x:c>
      <x:c r="C12" s="5" t="str">
        <x:v>Individual hall</x:v>
      </x:c>
      <x:c r="D12" s="10" t="n">
        <x:v>282</x:v>
      </x:c>
      <x:c r="E12" s="19" t="n">
        <x:v>1979</x:v>
      </x:c>
      <x:c r="F12" s="5" t="str">
        <x:v>Double, Single</x:v>
      </x:c>
      <x:c r="G12" s="17" t="d">
        <x:v>2026-10-20T12:00:00.000Z</x:v>
      </x:c>
      <x:c r="H12" s="5" t="str">
        <x:v>Official current search index and saved university page</x:v>
      </x:c>
      <x:c r="I12" s="21" t="str">
        <x:v>Overview emphasizes doubles; detailed room list also includes singles, including RA rooms.</x:v>
      </x:c>
      <x:c r="J12" s="2" t="str"/>
      <x:c r="K12" s="2" t="str">
        <x:v>https://residencelife.richmond.edu/housing/first%20years/lora-robins.html</x:v>
      </x:c>
      <x:c r="L12" s="2" t="str">
        <x:v>https://residencelife.richmond.edu/housing/first%20years/lora-robins.html</x:v>
      </x:c>
      <x:c r="M12" s="2" t="str">
        <x:v>https://residencelife.richmond.edu/housing/first%20years/lora-robins.html</x:v>
      </x:c>
    </x:row>
    <x:row r="13" ht="45" customHeight="1">
      <x:c r="A13" s="2" t="str">
        <x:v>571575</x:v>
      </x:c>
      <x:c r="B13" s="2" t="str">
        <x:v>Marsh Hall</x:v>
      </x:c>
      <x:c r="C13" s="2" t="str">
        <x:v>Individual hall</x:v>
      </x:c>
      <x:c r="D13" s="11" t="n">
        <x:v>229</x:v>
      </x:c>
      <x:c r="E13" s="20" t="n">
        <x:v>1973</x:v>
      </x:c>
      <x:c r="F13" s="2" t="str">
        <x:v>Single, Double, Triple</x:v>
      </x:c>
      <x:c r="G13" s="18" t="d">
        <x:v>2026-10-20T12:00:00.000Z</x:v>
      </x:c>
      <x:c r="H13" s="2" t="str">
        <x:v>Official current search index and saved university page</x:v>
      </x:c>
      <x:c r="I13" s="22" t="str"/>
      <x:c r="J13" s="2" t="str"/>
      <x:c r="K13" s="2" t="str">
        <x:v>https://residencelife.richmond.edu/housing/first%20years/marsh-hall.html</x:v>
      </x:c>
      <x:c r="L13" s="2" t="str">
        <x:v>https://residencelife.richmond.edu/housing/first%20years/marsh-hall.html</x:v>
      </x:c>
      <x:c r="M13" s="2" t="str">
        <x:v>https://residencelife.richmond.edu/housing/first%20years/marsh-hall.html</x:v>
      </x:c>
    </x:row>
    <x:row r="14" ht="45" customHeight="1">
      <x:c r="A14" s="5" t="str">
        <x:v>571759</x:v>
      </x:c>
      <x:c r="B14" s="5" t="str">
        <x:v>Moore Hall</x:v>
      </x:c>
      <x:c r="C14" s="5" t="str">
        <x:v>Individual hall</x:v>
      </x:c>
      <x:c r="D14" s="10" t="n">
        <x:v>156</x:v>
      </x:c>
      <x:c r="E14" s="19" t="n">
        <x:v>1969</x:v>
      </x:c>
      <x:c r="F14" s="5" t="str">
        <x:v>Single, Double, Triple</x:v>
      </x:c>
      <x:c r="G14" s="17" t="d">
        <x:v>2026-10-20T12:00:00.000Z</x:v>
      </x:c>
      <x:c r="H14" s="5" t="str">
        <x:v>Official current search index and saved university page</x:v>
      </x:c>
      <x:c r="I14" s="21" t="str"/>
      <x:c r="J14" s="2" t="str"/>
      <x:c r="K14" s="2" t="str">
        <x:v>https://residencelife.richmond.edu/housing/first%20years/moore-hall.html</x:v>
      </x:c>
      <x:c r="L14" s="2" t="str">
        <x:v>https://residencelife.richmond.edu/housing/first%20years/moore-hall.html</x:v>
      </x:c>
      <x:c r="M14" s="2" t="str">
        <x:v>https://residencelife.richmond.edu/housing/first%20years/moore-hall.html</x:v>
      </x:c>
    </x:row>
    <x:row r="15" ht="45" customHeight="1">
      <x:c r="A15" s="2" t="str">
        <x:v>571760</x:v>
      </x:c>
      <x:c r="B15" s="2" t="str">
        <x:v>North Court</x:v>
      </x:c>
      <x:c r="C15" s="2" t="str">
        <x:v>Individual hall</x:v>
      </x:c>
      <x:c r="D15" s="11" t="n">
        <x:v>221</x:v>
      </x:c>
      <x:c r="E15" s="20" t="n">
        <x:v>1914</x:v>
      </x:c>
      <x:c r="F15" s="2" t="str">
        <x:v>Single, Double, Suite</x:v>
      </x:c>
      <x:c r="G15" s="18" t="d">
        <x:v>2026-10-20T12:00:00.000Z</x:v>
      </x:c>
      <x:c r="H15" s="2" t="str">
        <x:v>Official current search index and saved university page</x:v>
      </x:c>
      <x:c r="I15" s="22" t="str"/>
      <x:c r="J15" s="2" t="str"/>
      <x:c r="K15" s="2" t="str">
        <x:v>https://residencelife.richmond.edu/housing/upperclass/north-court.html</x:v>
      </x:c>
      <x:c r="L15" s="2" t="str">
        <x:v>https://residencelife.richmond.edu/housing/upperclass/north-court.html</x:v>
      </x:c>
      <x:c r="M15" s="2" t="str">
        <x:v>https://residencelife.richmond.edu/housing/upperclass/north-court.html</x:v>
      </x:c>
    </x:row>
    <x:row r="16" ht="45" customHeight="1">
      <x:c r="A16" s="5" t="str">
        <x:v>572484</x:v>
      </x:c>
      <x:c r="B16" s="5" t="str">
        <x:v>Pacific House</x:v>
      </x:c>
      <x:c r="C16" s="5" t="str">
        <x:v>Individual hall</x:v>
      </x:c>
      <x:c r="D16" s="10" t="n">
        <x:v>17</x:v>
      </x:c>
      <x:c r="E16" s="19" t="n">
        <x:v>1928</x:v>
      </x:c>
      <x:c r="F16" s="5" t="str">
        <x:v>Single</x:v>
      </x:c>
      <x:c r="G16" s="17" t="d">
        <x:v>2026-10-20T12:00:00.000Z</x:v>
      </x:c>
      <x:c r="H16" s="5" t="str">
        <x:v>Official current search index and saved university page</x:v>
      </x:c>
      <x:c r="I16" s="21" t="str"/>
      <x:c r="J16" s="2" t="str"/>
      <x:c r="K16" s="2" t="str">
        <x:v>https://residencelife.richmond.edu/housing/law-housing/pacific-house.html</x:v>
      </x:c>
      <x:c r="L16" s="2" t="str">
        <x:v>https://residencelife.richmond.edu/housing/law-housing/pacific-house.html</x:v>
      </x:c>
      <x:c r="M16" s="2" t="str">
        <x:v>https://residencelife.richmond.edu/housing/law-housing/pacific-house.html</x:v>
      </x:c>
    </x:row>
    <x:row r="17" ht="45" customHeight="1">
      <x:c r="A17" s="2" t="str">
        <x:v>571570</x:v>
      </x:c>
      <x:c r="B17" s="2" t="str">
        <x:v>Residence Hall No. 1</x:v>
      </x:c>
      <x:c r="C17" s="2" t="str">
        <x:v>Individual hall</x:v>
      </x:c>
      <x:c r="D17" s="11" t="n">
        <x:v>83</x:v>
      </x:c>
      <x:c r="E17" s="20" t="n">
        <x:v>1913</x:v>
      </x:c>
      <x:c r="F17" s="2" t="str">
        <x:v>Single, Double, Suite</x:v>
      </x:c>
      <x:c r="G17" s="18" t="d">
        <x:v>2026-10-20T12:00:00.000Z</x:v>
      </x:c>
      <x:c r="H17" s="2" t="str">
        <x:v>Official current search index and saved university page</x:v>
      </x:c>
      <x:c r="I17" s="22" t="str"/>
      <x:c r="J17" s="2" t="str"/>
      <x:c r="K17" s="2" t="str">
        <x:v>https://residencelife.richmond.edu/housing/upperclass/jeter-hall.html</x:v>
      </x:c>
      <x:c r="L17" s="2" t="str">
        <x:v>https://residencelife.richmond.edu/housing/upperclass/jeter-hall.html</x:v>
      </x:c>
      <x:c r="M17" s="2" t="str">
        <x:v>https://residencelife.richmond.edu/housing/upperclass/jeter-hall.html</x:v>
      </x:c>
    </x:row>
    <x:row r="18" ht="45" customHeight="1">
      <x:c r="A18" s="5" t="str">
        <x:v>571872</x:v>
      </x:c>
      <x:c r="B18" s="5" t="str">
        <x:v>Residence Hall No. 2</x:v>
      </x:c>
      <x:c r="C18" s="5" t="str">
        <x:v>Individual hall</x:v>
      </x:c>
      <x:c r="D18" s="10" t="n">
        <x:v>86</x:v>
      </x:c>
      <x:c r="E18" s="19" t="n">
        <x:v>1913</x:v>
      </x:c>
      <x:c r="F18" s="5" t="str">
        <x:v>Single, Double, Suite</x:v>
      </x:c>
      <x:c r="G18" s="17" t="d">
        <x:v>2026-10-20T12:00:00.000Z</x:v>
      </x:c>
      <x:c r="H18" s="5" t="str">
        <x:v>Official current search index and saved university page</x:v>
      </x:c>
      <x:c r="I18" s="21" t="str"/>
      <x:c r="J18" s="2" t="str"/>
      <x:c r="K18" s="2" t="str">
        <x:v>https://residencelife.richmond.edu/housing/upperclass/thomas-hall.html</x:v>
      </x:c>
      <x:c r="L18" s="2" t="str">
        <x:v>https://residencelife.richmond.edu/housing/upperclass/thomas-hall.html</x:v>
      </x:c>
      <x:c r="M18" s="2" t="str">
        <x:v>https://residencelife.richmond.edu/housing/upperclass/thomas-hall.html</x:v>
      </x:c>
    </x:row>
    <x:row r="19" ht="45" customHeight="1">
      <x:c r="A19" s="2" t="str">
        <x:v>571562</x:v>
      </x:c>
      <x:c r="B19" s="2" t="str">
        <x:v>Residence Hall No. 3</x:v>
      </x:c>
      <x:c r="C19" s="2" t="str">
        <x:v>Individual hall</x:v>
      </x:c>
      <x:c r="D19" s="11" t="n">
        <x:v>86</x:v>
      </x:c>
      <x:c r="E19" s="20" t="n">
        <x:v>1965</x:v>
      </x:c>
      <x:c r="F19" s="2" t="str">
        <x:v>Single/double suite, Double/double suite</x:v>
      </x:c>
      <x:c r="G19" s="18" t="d">
        <x:v>2026-10-20T12:00:00.000Z</x:v>
      </x:c>
      <x:c r="H19" s="2" t="str">
        <x:v>Official current search index and saved university page</x:v>
      </x:c>
      <x:c r="I19" s="22" t="str">
        <x:v>1965 is the published opening year of the former Freeman Hall.</x:v>
      </x:c>
      <x:c r="J19" s="2" t="str"/>
      <x:c r="K19" s="2" t="str">
        <x:v>https://residencelife.richmond.edu/housing/upperclass/mitchell-freeman-hall.html</x:v>
      </x:c>
      <x:c r="L19" s="2" t="str">
        <x:v>https://residencelife.richmond.edu/housing/upperclass/mitchell-freeman-hall.html</x:v>
      </x:c>
      <x:c r="M19" s="2" t="str">
        <x:v>https://residencelife.richmond.edu/housing/upperclass/mitchell-freeman-hall.html</x:v>
      </x:c>
    </x:row>
    <x:row r="20" ht="45" customHeight="1">
      <x:c r="A20" s="5" t="str">
        <x:v>571861</x:v>
      </x:c>
      <x:c r="B20" s="5" t="str">
        <x:v>Robins Hall</x:v>
      </x:c>
      <x:c r="C20" s="5" t="str">
        <x:v>Individual hall</x:v>
      </x:c>
      <x:c r="D20" s="10"/>
      <x:c r="E20" s="19" t="n">
        <x:v>1959</x:v>
      </x:c>
      <x:c r="F20" s="5" t="str">
        <x:v>Single, Double, Triple</x:v>
      </x:c>
      <x:c r="G20" s="17" t="d">
        <x:v>2026-10-20T12:00:00.000Z</x:v>
      </x:c>
      <x:c r="H20" s="5" t="str">
        <x:v>Official current search index and saved university page</x:v>
      </x:c>
      <x:c r="I20" s="21" t="str">
        <x:v>Current Residence Life page does not publish a total capacity; no partial-plan estimate substituted.</x:v>
      </x:c>
      <x:c r="J20" s="2" t="str"/>
      <x:c r="K20" s="2" t="str">
        <x:v>https://residencelife.richmond.edu/housing/first%20years/robins-hall.html</x:v>
      </x:c>
      <x:c r="L20" s="2" t="str">
        <x:v>https://residencelife.richmond.edu/housing/first%20years/robins-hall.html</x:v>
      </x:c>
      <x:c r="M20" s="2" t="str">
        <x:v>https://residencelife.richmond.edu/housing/first%20years/robins-hall.html</x:v>
      </x:c>
    </x:row>
    <x:row r="21" ht="45" customHeight="1">
      <x:c r="A21" s="2" t="str">
        <x:v>571866</x:v>
      </x:c>
      <x:c r="B21" s="2" t="str">
        <x:v>South Court</x:v>
      </x:c>
      <x:c r="C21" s="2" t="str">
        <x:v>Individual hall</x:v>
      </x:c>
      <x:c r="D21" s="11" t="n">
        <x:v>162</x:v>
      </x:c>
      <x:c r="E21" s="20" t="n">
        <x:v>1948</x:v>
      </x:c>
      <x:c r="F21" s="2" t="str">
        <x:v>Single, Double, Triple, Suite</x:v>
      </x:c>
      <x:c r="G21" s="18" t="d">
        <x:v>2026-10-20T12:00:00.000Z</x:v>
      </x:c>
      <x:c r="H21" s="2" t="str">
        <x:v>Official current search index and saved university page</x:v>
      </x:c>
      <x:c r="I21" s="22" t="str"/>
      <x:c r="J21" s="2" t="str"/>
      <x:c r="K21" s="2" t="str">
        <x:v>https://residencelife.richmond.edu/housing/upperclass/south-court.html</x:v>
      </x:c>
      <x:c r="L21" s="2" t="str">
        <x:v>https://residencelife.richmond.edu/housing/upperclass/south-court.html</x:v>
      </x:c>
      <x:c r="M21" s="2" t="str">
        <x:v>https://residencelife.richmond.edu/housing/upperclass/south-court.html</x:v>
      </x:c>
    </x:row>
    <x:row r="22" ht="45" customHeight="1">
      <x:c r="A22" s="5" t="str">
        <x:v>572061</x:v>
      </x:c>
      <x:c r="B22" s="5" t="str">
        <x:v>University Forest Apartments</x:v>
      </x:c>
      <x:c r="C22" s="5" t="str">
        <x:v>Apartment community</x:v>
      </x:c>
      <x:c r="D22" s="10" t="n">
        <x:v>483</x:v>
      </x:c>
      <x:c r="E22" s="19"/>
      <x:c r="F22" s="5" t="str">
        <x:v>Two double bedrooms per typical townhouse</x:v>
      </x:c>
      <x:c r="G22" s="17" t="d">
        <x:v>2026-10-20T12:00:00.000Z</x:v>
      </x:c>
      <x:c r="H22" s="5" t="str">
        <x:v>Official current search index and saved university page</x:v>
      </x:c>
      <x:c r="I22" s="21" t="str">
        <x:v>Capacity covers the apartment community, not one building or unit.</x:v>
      </x:c>
      <x:c r="J22" s="2" t="str"/>
      <x:c r="K22" s="2" t="str">
        <x:v>https://residencelife.richmond.edu/housing/upperclass/ufa-gateway.html</x:v>
      </x:c>
      <x:c r="L22" s="2" t="str">
        <x:v>https://residencelife.richmond.edu/housing/upperclass/ufa-gateway.html</x:v>
      </x:c>
      <x:c r="M22" s="2" t="str">
        <x:v>https://residencelife.richmond.edu/housing/upperclass/ufa-gateway.html</x:v>
      </x:c>
    </x:row>
    <x:row r="23" ht="45" customHeight="1">
      <x:c r="A23" s="2" t="str">
        <x:v>571973</x:v>
      </x:c>
      <x:c r="B23" s="2" t="str">
        <x:v>Westhampton Hall</x:v>
      </x:c>
      <x:c r="C23" s="2" t="str">
        <x:v>Individual hall</x:v>
      </x:c>
      <x:c r="D23" s="11" t="n">
        <x:v>157</x:v>
      </x:c>
      <x:c r="E23" s="20" t="n">
        <x:v>2014</x:v>
      </x:c>
      <x:c r="F23" s="2" t="str">
        <x:v>Single, Double, Suite</x:v>
      </x:c>
      <x:c r="G23" s="18" t="d">
        <x:v>2026-10-20T12:00:00.000Z</x:v>
      </x:c>
      <x:c r="H23" s="2" t="str">
        <x:v>Official current search index and saved university page</x:v>
      </x:c>
      <x:c r="I23" s="22" t="str"/>
      <x:c r="J23" s="2" t="str"/>
      <x:c r="K23" s="2" t="str">
        <x:v>https://residencelife.richmond.edu/housing/upperclass/westhampton-hall.html</x:v>
      </x:c>
      <x:c r="L23" s="2" t="str">
        <x:v>https://residencelife.richmond.edu/housing/upperclass/westhampton-hall.html</x:v>
      </x:c>
      <x:c r="M23" s="2" t="str">
        <x:v>https://residencelife.richmond.edu/housing/upperclass/westhampton-hall.html</x:v>
      </x:c>
    </x:row>
    <x:row r="24" ht="45" customHeight="1">
      <x:c r="A24" s="5" t="str">
        <x:v>571975</x:v>
      </x:c>
      <x:c r="B24" s="5" t="str">
        <x:v>Wood Hall</x:v>
      </x:c>
      <x:c r="C24" s="5" t="str">
        <x:v>Individual hall</x:v>
      </x:c>
      <x:c r="D24" s="10"/>
      <x:c r="E24" s="19" t="n">
        <x:v>1956</x:v>
      </x:c>
      <x:c r="F24" s="5" t="str">
        <x:v>Single, Double, Triple</x:v>
      </x:c>
      <x:c r="G24" s="17" t="d">
        <x:v>2026-10-20T12:00:00.000Z</x:v>
      </x:c>
      <x:c r="H24" s="5" t="str">
        <x:v>Official current search index and saved university page</x:v>
      </x:c>
      <x:c r="I24" s="21" t="str">
        <x:v>Current Residence Life page does not publish a total capacity; no partial-plan estimate substituted.</x:v>
      </x:c>
      <x:c r="J24" s="2" t="str"/>
      <x:c r="K24" s="2" t="str">
        <x:v>https://residencelife.richmond.edu/housing/first%20years/wood-hall.html</x:v>
      </x:c>
      <x:c r="L24" s="2" t="str">
        <x:v>https://residencelife.richmond.edu/housing/first%20years/wood-hall.html</x:v>
      </x:c>
      <x:c r="M24" s="2" t="str">
        <x:v>https://residencelife.richmond.edu/housing/first%20years/wood-hall.html</x:v>
      </x:c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5" customHeight="1">
      <x:c r="A27" s="23" t="str">
        <x:v>Metric definitions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5" customHeight="1">
      <x:c r="A28" s="2" t="str">
        <x:v>Capacity is the published resident count; community totals cover all apartments, not one block.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5" customHeight="1">
      <x:c r="A29" s="2" t="str">
        <x:v>Historical years combine construction, completion, opening and dedication dates. Pacific uses its 1928 dedication.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5" customHeight="1">
      <x:c r="A30" s="2" t="str">
        <x:v>Sources are recorded per metric. No bed counts have been inferred from partial floor plans.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</x:sheetData>
  <x:conditionalFormatting sqref="D6:D24">
    <x:cfRule type="containsBlanks" dxfId="0" priority="1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80" hidden="0" customWidth="1"/>
    <x:col min="4" max="4" width="50" hidden="0" customWidth="1"/>
    <x:col min="5" max="5" width="100" hidden="0" customWidth="1"/>
  </x:cols>
  <x:sheetData>
    <x:row r="1">
      <x:c r="A1" s="1"/>
      <x:c r="B1" s="1"/>
      <x:c r="C1" s="1"/>
      <x:c r="D1" s="1"/>
      <x:c r="E1" s="1"/>
    </x:row>
    <x:row r="2">
      <x:c r="A2" s="24" t="str">
        <x:v>Stories behind the halls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0" customHeight="1">
      <x:c r="A4" s="7" t="str">
        <x:v>Place ID</x:v>
      </x:c>
      <x:c r="B4" s="7" t="str">
        <x:v>Residence</x:v>
      </x:c>
      <x:c r="C4" s="7" t="str">
        <x:v>Fact</x:v>
      </x:c>
      <x:c r="D4" s="7" t="str">
        <x:v>Publisher</x:v>
      </x:c>
      <x:c r="E4" s="7" t="str">
        <x:v>Source</x:v>
      </x:c>
    </x:row>
    <x:row r="5" ht="45" customHeight="1">
      <x:c r="A5" s="5" t="str">
        <x:v>572483</x:v>
      </x:c>
      <x:c r="B5" s="5" t="str">
        <x:v>Atlantic House</x:v>
      </x:c>
      <x:c r="C5" s="21" t="str">
        <x:v>Atlantic House began as a Kappa Sigma fraternity lodge in 1930; it became university student housing in the 1950s.</x:v>
      </x:c>
      <x:c r="D5" s="5" t="str">
        <x:v>University of Richmond · Residence Life &amp; Housing</x:v>
      </x:c>
      <x:c r="E5" s="5" t="str">
        <x:v>https://residencelife.richmond.edu/housing/law-housing/atlantic-house.html</x:v>
      </x:c>
    </x:row>
    <x:row r="6" ht="45" customHeight="1">
      <x:c r="A6" s="2" t="str">
        <x:v>571561</x:v>
      </x:c>
      <x:c r="B6" s="2" t="str">
        <x:v>Dennis Hall</x:v>
      </x:c>
      <x:c r="C6" s="22" t="str">
        <x:v>Dennis Hall was a gift from alumnus Overton D. Dennis in memory of his brother Eugene; it opened in 1964.</x:v>
      </x:c>
      <x:c r="D6" s="2" t="str">
        <x:v>University of Richmond · Graduate Catalog 2002–04</x:v>
      </x:c>
      <x:c r="E6" s="2" t="str">
        <x:v>https://registrar.richmond.edu/_common/PDF/4_5%20Previous%20Catalogs/cat_grad_02-04.pdf</x:v>
      </x:c>
    </x:row>
    <x:row r="7" ht="45" customHeight="1">
      <x:c r="A7" s="5" t="str">
        <x:v>572073</x:v>
      </x:c>
      <x:c r="B7" s="5" t="str">
        <x:v>Gateway Village Apartments</x:v>
      </x:c>
      <x:c r="C7" s="21" t="str">
        <x:v>Gateway kitchens change position with the layout: bay-window apartments place the kitchen in the center of the living/dining area.</x:v>
      </x:c>
      <x:c r="D7" s="5" t="str">
        <x:v>University of Richmond · Residence Life &amp; Housing</x:v>
      </x:c>
      <x:c r="E7" s="5" t="str">
        <x:v>https://residencelife.richmond.edu/housing/upperclass/ufa-gateway.html</x:v>
      </x:c>
    </x:row>
    <x:row r="8" ht="45" customHeight="1">
      <x:c r="A8" s="2" t="str">
        <x:v>571565</x:v>
      </x:c>
      <x:c r="B8" s="2" t="str">
        <x:v>Gray Court</x:v>
      </x:c>
      <x:c r="C8" s="22" t="str">
        <x:v>Gray Court is named for Agnes Taylor Gray, a member of Westhampton College’s Class of 1923.</x:v>
      </x:c>
      <x:c r="D8" s="2" t="str">
        <x:v>University of Richmond · Residence Life &amp; Housing</x:v>
      </x:c>
      <x:c r="E8" s="2" t="str">
        <x:v>https://residencelife.richmond.edu/housing/upperclass/gray-court.html</x:v>
      </x:c>
    </x:row>
    <x:row r="9" ht="45" customHeight="1">
      <x:c r="A9" s="5" t="str">
        <x:v>571571</x:v>
      </x:c>
      <x:c r="B9" s="5" t="str">
        <x:v>Keller Hall</x:v>
      </x:c>
      <x:c r="C9" s="21" t="str">
        <x:v>Bruce Springsteen performed in Keller Hall’s gym in 1971. A ticket cost $2.50.</x:v>
      </x:c>
      <x:c r="D9" s="5" t="str">
        <x:v>University of Richmond · History of Music</x:v>
      </x:c>
      <x:c r="E9" s="5" t="str">
        <x:v>https://blog.richmond.edu/urmusichistory/keller-hall/</x:v>
      </x:c>
    </x:row>
    <x:row r="10" ht="45" customHeight="1">
      <x:c r="A10" s="2" t="str">
        <x:v>571573</x:v>
      </x:c>
      <x:c r="B10" s="2" t="str">
        <x:v>Lakeview Hall</x:v>
      </x:c>
      <x:c r="C10" s="22" t="str">
        <x:v>Student interns helped complete Lakeview Hall’s LEED application—a hands-on contribution to its green-building certification.</x:v>
      </x:c>
      <x:c r="D10" s="2" t="str">
        <x:v>University of Richmond · Office for Sustainability</x:v>
      </x:c>
      <x:c r="E10" s="2" t="str">
        <x:v>https://sustainability.richmond.edu/campus/buildings/lakeview-case-study.pdf</x:v>
      </x:c>
    </x:row>
    <x:row r="11" ht="45" customHeight="1">
      <x:c r="A11" s="5" t="str">
        <x:v>571574</x:v>
      </x:c>
      <x:c r="B11" s="5" t="str">
        <x:v>Lora Robins Court</x:v>
      </x:c>
      <x:c r="C11" s="21" t="str">
        <x:v>Completed in 1979, this hall is named for Lora Robins, wife of alumnus and benefactor E. Claiborne Robins, Sr.</x:v>
      </x:c>
      <x:c r="D11" s="5" t="str">
        <x:v>University of Richmond · Residence Life &amp; Housing</x:v>
      </x:c>
      <x:c r="E11" s="5" t="str">
        <x:v>https://residencelife.richmond.edu/housing/first%20years/lora-robins.html</x:v>
      </x:c>
    </x:row>
    <x:row r="12" ht="45" customHeight="1">
      <x:c r="A12" s="2" t="str">
        <x:v>571575</x:v>
      </x:c>
      <x:c r="B12" s="2" t="str">
        <x:v>Marsh Hall</x:v>
      </x:c>
      <x:c r="C12" s="22" t="str">
        <x:v>Look closely at the third-floor room descriptions: many of Marsh’s rooms have their own alcove.</x:v>
      </x:c>
      <x:c r="D12" s="2" t="str">
        <x:v>University of Richmond · Residence Life &amp; Housing</x:v>
      </x:c>
      <x:c r="E12" s="2" t="str">
        <x:v>https://residencelife.richmond.edu/housing/first%20years/marsh-hall.html</x:v>
      </x:c>
    </x:row>
    <x:row r="13" ht="45" customHeight="1">
      <x:c r="A13" s="5" t="str">
        <x:v>571759</x:v>
      </x:c>
      <x:c r="B13" s="5" t="str">
        <x:v>Moore Hall</x:v>
      </x:c>
      <x:c r="C13" s="21" t="str">
        <x:v>Some Moore Hall rooms have bay windows, while several upper-floor rooms have alcoves tucked into the layout.</x:v>
      </x:c>
      <x:c r="D13" s="5" t="str">
        <x:v>University of Richmond · Residence Life &amp; Housing</x:v>
      </x:c>
      <x:c r="E13" s="5" t="str">
        <x:v>https://residencelife.richmond.edu/housing/first%20years/moore-hall.html</x:v>
      </x:c>
    </x:row>
    <x:row r="14" ht="45" customHeight="1">
      <x:c r="A14" s="2" t="str">
        <x:v>571760</x:v>
      </x:c>
      <x:c r="B14" s="2" t="str">
        <x:v>North Court</x:v>
      </x:c>
      <x:c r="C14" s="22" t="str">
        <x:v>North Court’s original design groups its residential sections around a large English courtyard, with a tower and cloisters.</x:v>
      </x:c>
      <x:c r="D14" s="2" t="str">
        <x:v>University of Richmond · Graduate Catalog 2002–04</x:v>
      </x:c>
      <x:c r="E14" s="2" t="str">
        <x:v>https://registrar.richmond.edu/_common/PDF/4_5%20Previous%20Catalogs/cat_grad_02-04.pdf</x:v>
      </x:c>
    </x:row>
    <x:row r="15" ht="45" customHeight="1">
      <x:c r="A15" s="5" t="str">
        <x:v>572484</x:v>
      </x:c>
      <x:c r="B15" s="5" t="str">
        <x:v>Pacific House</x:v>
      </x:c>
      <x:c r="C15" s="21" t="str">
        <x:v>Pacific House opened as a Phi Kappa Sigma lodge in 1928, before becoming university student housing in the 1950s.</x:v>
      </x:c>
      <x:c r="D15" s="5" t="str">
        <x:v>University of Richmond · Residence Life &amp; Housing</x:v>
      </x:c>
      <x:c r="E15" s="5" t="str">
        <x:v>https://residencelife.richmond.edu/housing/law-housing/pacific-house.html</x:v>
      </x:c>
    </x:row>
    <x:row r="16" ht="45" customHeight="1">
      <x:c r="A16" s="2" t="str">
        <x:v>571570</x:v>
      </x:c>
      <x:c r="B16" s="2" t="str">
        <x:v>Residence Hall No. 1</x:v>
      </x:c>
      <x:c r="C16" s="22" t="str">
        <x:v>One of the new campus’s first two dormitories, this building was originally called “Dormitory No. 1.”</x:v>
      </x:c>
      <x:c r="D16" s="2" t="str">
        <x:v>University of Richmond · Residence Life &amp; Housing</x:v>
      </x:c>
      <x:c r="E16" s="2" t="str">
        <x:v>https://residencelife.richmond.edu/housing/upperclass/jeter-hall.html</x:v>
      </x:c>
    </x:row>
    <x:row r="17" ht="45" customHeight="1">
      <x:c r="A17" s="5" t="str">
        <x:v>571872</x:v>
      </x:c>
      <x:c r="B17" s="5" t="str">
        <x:v>Residence Hall No. 2</x:v>
      </x:c>
      <x:c r="C17" s="21" t="str">
        <x:v>Residence Hall No. 2 earned LEED Gold certification in 2016 after its renovation.</x:v>
      </x:c>
      <x:c r="D17" s="5" t="str">
        <x:v>University of Richmond · Office for Sustainability</x:v>
      </x:c>
      <x:c r="E17" s="5" t="str">
        <x:v>https://www.sustainability.richmond.edu/campus/buildings/index.html</x:v>
      </x:c>
    </x:row>
    <x:row r="18" ht="45" customHeight="1">
      <x:c r="A18" s="2" t="str">
        <x:v>571562</x:v>
      </x:c>
      <x:c r="B18" s="2" t="str">
        <x:v>Residence Hall No. 3</x:v>
      </x:c>
      <x:c r="C18" s="22" t="str">
        <x:v>Several rooms in Residence Hall No. 3 have bay windows—a small architectural detail worth spotting in the floor plans.</x:v>
      </x:c>
      <x:c r="D18" s="2" t="str">
        <x:v>University of Richmond · Residence Life &amp; Housing</x:v>
      </x:c>
      <x:c r="E18" s="2" t="str">
        <x:v>https://residencelife.richmond.edu/housing/upperclass/mitchell-freeman-hall.html</x:v>
      </x:c>
    </x:row>
    <x:row r="19" ht="45" customHeight="1">
      <x:c r="A19" s="5" t="str">
        <x:v>571861</x:v>
      </x:c>
      <x:c r="B19" s="5" t="str">
        <x:v>Robins Hall</x:v>
      </x:c>
      <x:c r="C19" s="21" t="str">
        <x:v>Robins Hall originally included a 16-bed infirmary; that space was later converted into student rooms.</x:v>
      </x:c>
      <x:c r="D19" s="5" t="str">
        <x:v>University of Richmond · Urban Campus exhibit</x:v>
      </x:c>
      <x:c r="E19" s="5" t="str">
        <x:v>https://urbancampus.richmond.edu/exhibits/show/urpostwarcampus/dormitories-on-campus</x:v>
      </x:c>
    </x:row>
    <x:row r="20" ht="45" customHeight="1">
      <x:c r="A20" s="2" t="str">
        <x:v>571866</x:v>
      </x:c>
      <x:c r="B20" s="2" t="str">
        <x:v>South Court</x:v>
      </x:c>
      <x:c r="C20" s="22" t="str">
        <x:v>South Court’s room descriptions include fireplaces and alcoves, so rooms can have quite different shapes and features.</x:v>
      </x:c>
      <x:c r="D20" s="2" t="str">
        <x:v>University of Richmond · Residence Life &amp; Housing</x:v>
      </x:c>
      <x:c r="E20" s="2" t="str">
        <x:v>https://residencelife.richmond.edu/housing/upperclass/south-court.html</x:v>
      </x:c>
    </x:row>
    <x:row r="21" ht="45" customHeight="1">
      <x:c r="A21" s="5" t="str">
        <x:v>572061</x:v>
      </x:c>
      <x:c r="B21" s="5" t="str">
        <x:v>University Forest Apartments</x:v>
      </x:c>
      <x:c r="C21" s="21" t="str">
        <x:v>Most UFAs are two-story townhouses, but four apartments—160F, 164H, 166A and 486A—have a single-level layout.</x:v>
      </x:c>
      <x:c r="D21" s="5" t="str">
        <x:v>University of Richmond · Residence Life &amp; Housing</x:v>
      </x:c>
      <x:c r="E21" s="5" t="str">
        <x:v>https://residencelife.richmond.edu/housing/upperclass/ufa-gateway.html</x:v>
      </x:c>
    </x:row>
    <x:row r="22" ht="45" customHeight="1">
      <x:c r="A22" s="2" t="str">
        <x:v>571973</x:v>
      </x:c>
      <x:c r="B22" s="2" t="str">
        <x:v>Westhampton Hall</x:v>
      </x:c>
      <x:c r="C22" s="22" t="str">
        <x:v>Westhampton Hall earned LEED Silver certification in 2016 for its sustainable building design.</x:v>
      </x:c>
      <x:c r="D22" s="2" t="str">
        <x:v>University of Richmond · Office for Sustainability</x:v>
      </x:c>
      <x:c r="E22" s="2" t="str">
        <x:v>https://www.sustainability.richmond.edu/campus/buildings/index.html</x:v>
      </x:c>
    </x:row>
    <x:row r="23" ht="45" customHeight="1">
      <x:c r="A23" s="5" t="str">
        <x:v>571975</x:v>
      </x:c>
      <x:c r="B23" s="5" t="str">
        <x:v>Wood Hall</x:v>
      </x:c>
      <x:c r="C23" s="21" t="str">
        <x:v>When Wood Hall opened in 1956, it was the first permanent residence hall built on the Richmond College campus since 1914.</x:v>
      </x:c>
      <x:c r="D23" s="5" t="str">
        <x:v>University of Richmond · Residence Life &amp; Housing</x:v>
      </x:c>
      <x:c r="E23" s="5" t="str">
        <x:v>https://residencelife.richmond.edu/housing/first%20years/wood-hall.html</x:v>
      </x:c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</x:sheetData>
  <x:pageMargins left="0.7" right="0.7" top="0.75" bottom="0.75" header="0.3" footer="0.3"/>
</x:worksheet>
</file>